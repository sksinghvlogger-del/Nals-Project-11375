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39EAD8B-D5BE-48F5-BF22-00373B634517}" xr6:coauthVersionLast="47" xr6:coauthVersionMax="47" xr10:uidLastSave="{00000000-0000-0000-0000-000000000000}"/>
  <bookViews>
    <workbookView xWindow="-108" yWindow="-108" windowWidth="23256" windowHeight="12456" xr2:uid="{9C0EADAC-5982-4102-881B-F6D687CA4ADF}"/>
  </bookViews>
  <sheets>
    <sheet name="student data" sheetId="1" r:id="rId1"/>
    <sheet name="marks analysis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3" i="1"/>
  <c r="G4" i="1"/>
  <c r="G5" i="1"/>
  <c r="G2" i="1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  <c r="G9" i="1"/>
  <c r="G10" i="1"/>
  <c r="G11" i="1"/>
  <c r="G1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I2" i="1"/>
  <c r="H2" i="1"/>
  <c r="J6" i="1" l="1"/>
  <c r="L6" i="1"/>
  <c r="K8" i="1"/>
  <c r="K10" i="2"/>
  <c r="K12" i="2"/>
  <c r="J11" i="2"/>
  <c r="L11" i="2" s="1"/>
  <c r="K3" i="2"/>
  <c r="J9" i="2"/>
  <c r="L9" i="2" s="1"/>
  <c r="J5" i="2"/>
  <c r="L5" i="2" s="1"/>
  <c r="J7" i="2"/>
  <c r="L7" i="2" s="1"/>
  <c r="K9" i="2"/>
  <c r="K11" i="2"/>
  <c r="J2" i="2"/>
  <c r="L2" i="2" s="1"/>
  <c r="J4" i="2"/>
  <c r="L4" i="2" s="1"/>
  <c r="J6" i="2"/>
  <c r="L6" i="2" s="1"/>
  <c r="K2" i="2"/>
  <c r="K4" i="2"/>
  <c r="K6" i="2"/>
  <c r="J8" i="2"/>
  <c r="L8" i="2" s="1"/>
  <c r="J12" i="2"/>
  <c r="L12" i="2" s="1"/>
  <c r="J3" i="2"/>
  <c r="L3" i="2" s="1"/>
  <c r="K5" i="2"/>
  <c r="K7" i="2"/>
  <c r="K8" i="2"/>
  <c r="J10" i="2"/>
  <c r="L10" i="2" s="1"/>
  <c r="J12" i="1"/>
  <c r="J11" i="1"/>
  <c r="L10" i="1"/>
  <c r="J7" i="1"/>
  <c r="J5" i="1"/>
  <c r="J9" i="1"/>
  <c r="J4" i="1"/>
  <c r="J3" i="1"/>
  <c r="J8" i="1"/>
  <c r="J10" i="1"/>
  <c r="L5" i="1"/>
  <c r="L9" i="1"/>
  <c r="L12" i="1"/>
  <c r="L3" i="1"/>
  <c r="L11" i="1"/>
  <c r="L8" i="1"/>
  <c r="L4" i="1"/>
  <c r="L7" i="1"/>
  <c r="K3" i="1"/>
  <c r="K2" i="1"/>
  <c r="K11" i="1"/>
  <c r="L2" i="1"/>
  <c r="K7" i="1"/>
  <c r="K10" i="1"/>
  <c r="K6" i="1"/>
  <c r="K5" i="1"/>
  <c r="K9" i="1"/>
  <c r="K4" i="1"/>
  <c r="K12" i="1"/>
  <c r="J2" i="1"/>
  <c r="N10" i="2" l="1"/>
  <c r="N9" i="2"/>
  <c r="N6" i="2"/>
  <c r="N8" i="2"/>
  <c r="N7" i="2"/>
  <c r="N8" i="1"/>
  <c r="N6" i="1"/>
  <c r="N7" i="1"/>
</calcChain>
</file>

<file path=xl/sharedStrings.xml><?xml version="1.0" encoding="utf-8"?>
<sst xmlns="http://schemas.openxmlformats.org/spreadsheetml/2006/main" count="120" uniqueCount="54">
  <si>
    <t>Shivam singh</t>
  </si>
  <si>
    <t>Avtar singh</t>
  </si>
  <si>
    <t>Shivam raj</t>
  </si>
  <si>
    <t>Prabhakar singh</t>
  </si>
  <si>
    <t>Rahul yadav</t>
  </si>
  <si>
    <t>Niraj Sharma</t>
  </si>
  <si>
    <t>Arya bhatt</t>
  </si>
  <si>
    <t>neha singh</t>
  </si>
  <si>
    <t>nikhil sharma</t>
  </si>
  <si>
    <t>shailesh gupta</t>
  </si>
  <si>
    <t>sneha mishra</t>
  </si>
  <si>
    <t>Full name</t>
  </si>
  <si>
    <t>first name</t>
  </si>
  <si>
    <t>last name</t>
  </si>
  <si>
    <t>Shivam</t>
  </si>
  <si>
    <t>singh</t>
  </si>
  <si>
    <t>Avtar</t>
  </si>
  <si>
    <t>Prabhakar</t>
  </si>
  <si>
    <t>Rahul</t>
  </si>
  <si>
    <t>Niraj</t>
  </si>
  <si>
    <t>Arya</t>
  </si>
  <si>
    <t>neha</t>
  </si>
  <si>
    <t>nikhil</t>
  </si>
  <si>
    <t>shailesh</t>
  </si>
  <si>
    <t>sneha</t>
  </si>
  <si>
    <t>raj</t>
  </si>
  <si>
    <t>yadav</t>
  </si>
  <si>
    <t>Sharma</t>
  </si>
  <si>
    <t>bhatt</t>
  </si>
  <si>
    <t>sharma</t>
  </si>
  <si>
    <t>gupta</t>
  </si>
  <si>
    <t>mishra</t>
  </si>
  <si>
    <t>class</t>
  </si>
  <si>
    <t>roll no.</t>
  </si>
  <si>
    <t>state</t>
  </si>
  <si>
    <t>bihart</t>
  </si>
  <si>
    <t>mumbia</t>
  </si>
  <si>
    <t>haryana</t>
  </si>
  <si>
    <t>bihar</t>
  </si>
  <si>
    <t>goa</t>
  </si>
  <si>
    <t>jharkhand</t>
  </si>
  <si>
    <t>delhi</t>
  </si>
  <si>
    <t>eng</t>
  </si>
  <si>
    <t>hindi</t>
  </si>
  <si>
    <t>math</t>
  </si>
  <si>
    <t>total marks</t>
  </si>
  <si>
    <t>avg.</t>
  </si>
  <si>
    <t>result</t>
  </si>
  <si>
    <t>no.of student fail=</t>
  </si>
  <si>
    <t xml:space="preserve">no. of student pass </t>
  </si>
  <si>
    <t>class avg.</t>
  </si>
  <si>
    <t>max</t>
  </si>
  <si>
    <t>min</t>
  </si>
  <si>
    <t>no.of student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</si>
</sst>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PASS</a:t>
            </a:r>
            <a:r>
              <a:rPr lang="en-IN" baseline="0"/>
              <a:t> VS FAIL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090-4B12-A253-1D86984D6B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090-4B12-A253-1D86984D6B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'marks analysis'!$M$6:$M$7</c:f>
              <c:strCache>
                <c:ptCount val="2"/>
                <c:pt idx="0">
                  <c:v>no. of student pass </c:v>
                </c:pt>
                <c:pt idx="1">
                  <c:v>no.of student fail=</c:v>
                </c:pt>
              </c:strCache>
            </c:strRef>
          </c:cat>
          <c:val>
            <c:numRef>
              <c:f>'marks analysis'!$N$6:$N$7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90-4B12-A253-1D86984D6B7C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'student data'!$G$2:$G$12</c:f>
              <c:numCache>
                <c:formatCode>General</c:formatCode>
                <c:ptCount val="11"/>
                <c:pt idx="0">
                  <c:v>68</c:v>
                </c:pt>
                <c:pt idx="1">
                  <c:v>57</c:v>
                </c:pt>
                <c:pt idx="2">
                  <c:v>67</c:v>
                </c:pt>
                <c:pt idx="3">
                  <c:v>68</c:v>
                </c:pt>
                <c:pt idx="4">
                  <c:v>55</c:v>
                </c:pt>
                <c:pt idx="5">
                  <c:v>58</c:v>
                </c:pt>
                <c:pt idx="6">
                  <c:v>70</c:v>
                </c:pt>
                <c:pt idx="7">
                  <c:v>38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A-4374-9995-8CAF34FDC71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'student data'!$H$2:$H$12</c:f>
              <c:numCache>
                <c:formatCode>General</c:formatCode>
                <c:ptCount val="11"/>
                <c:pt idx="0">
                  <c:v>43</c:v>
                </c:pt>
                <c:pt idx="1">
                  <c:v>46</c:v>
                </c:pt>
                <c:pt idx="2">
                  <c:v>41</c:v>
                </c:pt>
                <c:pt idx="3">
                  <c:v>30</c:v>
                </c:pt>
                <c:pt idx="4">
                  <c:v>45</c:v>
                </c:pt>
                <c:pt idx="5">
                  <c:v>31</c:v>
                </c:pt>
                <c:pt idx="6">
                  <c:v>37</c:v>
                </c:pt>
                <c:pt idx="7">
                  <c:v>42</c:v>
                </c:pt>
                <c:pt idx="8">
                  <c:v>37</c:v>
                </c:pt>
                <c:pt idx="9">
                  <c:v>37</c:v>
                </c:pt>
                <c:pt idx="1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A-4374-9995-8CAF34FDC7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'student data'!$I$2:$I$12</c:f>
              <c:numCache>
                <c:formatCode>General</c:formatCode>
                <c:ptCount val="11"/>
                <c:pt idx="0">
                  <c:v>43</c:v>
                </c:pt>
                <c:pt idx="1">
                  <c:v>45</c:v>
                </c:pt>
                <c:pt idx="2">
                  <c:v>49</c:v>
                </c:pt>
                <c:pt idx="3">
                  <c:v>52</c:v>
                </c:pt>
                <c:pt idx="4">
                  <c:v>51</c:v>
                </c:pt>
                <c:pt idx="5">
                  <c:v>31</c:v>
                </c:pt>
                <c:pt idx="6">
                  <c:v>42</c:v>
                </c:pt>
                <c:pt idx="7">
                  <c:v>34</c:v>
                </c:pt>
                <c:pt idx="8">
                  <c:v>51</c:v>
                </c:pt>
                <c:pt idx="9">
                  <c:v>46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A-4374-9995-8CAF34FDC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412079"/>
        <c:axId val="1293411599"/>
      </c:barChart>
      <c:catAx>
        <c:axId val="1293412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11599"/>
        <c:crosses val="autoZero"/>
        <c:auto val="1"/>
        <c:lblAlgn val="ctr"/>
        <c:lblOffset val="100"/>
        <c:noMultiLvlLbl val="0"/>
      </c:catAx>
      <c:valAx>
        <c:axId val="129341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1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175260</xdr:colOff>
      <xdr:row>1</xdr:row>
      <xdr:rowOff>15240</xdr:rowOff>
    </xdr:from>
    <xdr:to>
      <xdr:col>16</xdr:col>
      <xdr:colOff>213360</xdr:colOff>
      <xdr:row>16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426B6F-7016-4F22-8FF8-3FBE37DCC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7</xdr:col>
      <xdr:colOff>579120</xdr:colOff>
      <xdr:row>16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DF04F1-2103-4D38-BF3F-57B678A6D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FDF2-773E-4FCF-A961-26A5AA8F01C6}">
  <dimension ref="A1:N12"/>
  <sheetViews>
    <sheetView tabSelected="1" workbookViewId="0">
      <selection activeCell="M18" sqref="M18"/>
    </sheetView>
  </sheetViews>
  <sheetFormatPr defaultRowHeight="14.4" x14ac:dyDescent="0.3"/>
  <cols>
    <col min="1" max="1" width="14" customWidth="1"/>
    <col min="10" max="10" width="10" customWidth="1"/>
    <col min="13" max="13" width="18" customWidth="1"/>
  </cols>
  <sheetData>
    <row r="1" spans="1:14" x14ac:dyDescent="0.3">
      <c r="A1" s="2" t="s">
        <v>11</v>
      </c>
      <c r="B1" s="2" t="s">
        <v>12</v>
      </c>
      <c r="C1" s="2" t="s">
        <v>13</v>
      </c>
      <c r="D1" s="2" t="s">
        <v>32</v>
      </c>
      <c r="E1" s="2" t="s">
        <v>33</v>
      </c>
      <c r="F1" s="2" t="s">
        <v>34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4" x14ac:dyDescent="0.3">
      <c r="A2" s="3" t="s">
        <v>0</v>
      </c>
      <c r="B2" s="5" t="s">
        <v>14</v>
      </c>
      <c r="C2" s="4" t="s">
        <v>15</v>
      </c>
      <c r="D2">
        <v>9</v>
      </c>
      <c r="E2">
        <v>1</v>
      </c>
      <c r="F2" t="s">
        <v>35</v>
      </c>
      <c r="G2" s="6">
        <f ca="1">RANDBETWEEN(50,70)</f>
        <v>68</v>
      </c>
      <c r="H2" s="6">
        <f ca="1">RANDBETWEEN(30,55)</f>
        <v>43</v>
      </c>
      <c r="I2" s="6">
        <f ca="1">RANDBETWEEN(30,55)</f>
        <v>43</v>
      </c>
      <c r="J2">
        <f ca="1">SUM(G2:I2)</f>
        <v>154</v>
      </c>
      <c r="K2" s="1">
        <f ca="1">AVERAGE(G2:I2)</f>
        <v>51.333333333333336</v>
      </c>
      <c r="L2" t="str">
        <f ca="1">IF(AND(G2&gt;=40,H2&gt;=40,I2&gt;=40),"pass","fail")</f>
        <v>pass</v>
      </c>
    </row>
    <row r="3" spans="1:14" x14ac:dyDescent="0.3">
      <c r="A3" s="3" t="s">
        <v>1</v>
      </c>
      <c r="B3" s="5" t="s">
        <v>16</v>
      </c>
      <c r="C3" s="4" t="s">
        <v>15</v>
      </c>
      <c r="D3">
        <v>9</v>
      </c>
      <c r="E3">
        <v>2</v>
      </c>
      <c r="F3" t="s">
        <v>41</v>
      </c>
      <c r="G3" s="6">
        <f t="shared" ref="G3:G8" ca="1" si="0">RANDBETWEEN(50,70)</f>
        <v>57</v>
      </c>
      <c r="H3" s="6">
        <f t="shared" ref="G3:I12" ca="1" si="1">RANDBETWEEN(30,55)</f>
        <v>46</v>
      </c>
      <c r="I3" s="6">
        <f t="shared" ca="1" si="1"/>
        <v>45</v>
      </c>
      <c r="J3">
        <f t="shared" ref="J3:J12" ca="1" si="2">SUM(G3:I3)</f>
        <v>148</v>
      </c>
      <c r="K3" s="1">
        <f t="shared" ref="K3:K12" ca="1" si="3">AVERAGE(G3:I3)</f>
        <v>49.333333333333336</v>
      </c>
      <c r="L3" t="str">
        <f t="shared" ref="L3:L12" ca="1" si="4">IF(AND(G3&gt;=40,H3&gt;=40,I3&gt;=40),"pass","fail")</f>
        <v>pass</v>
      </c>
    </row>
    <row r="4" spans="1:14" x14ac:dyDescent="0.3">
      <c r="A4" s="3" t="s">
        <v>2</v>
      </c>
      <c r="B4" s="5" t="s">
        <v>14</v>
      </c>
      <c r="C4" s="4" t="s">
        <v>25</v>
      </c>
      <c r="D4">
        <v>9</v>
      </c>
      <c r="E4">
        <v>3</v>
      </c>
      <c r="F4" t="s">
        <v>36</v>
      </c>
      <c r="G4" s="6">
        <f t="shared" ca="1" si="0"/>
        <v>67</v>
      </c>
      <c r="H4" s="6">
        <f t="shared" ca="1" si="1"/>
        <v>41</v>
      </c>
      <c r="I4" s="6">
        <f t="shared" ca="1" si="1"/>
        <v>49</v>
      </c>
      <c r="J4">
        <f t="shared" ca="1" si="2"/>
        <v>157</v>
      </c>
      <c r="K4" s="1">
        <f t="shared" ca="1" si="3"/>
        <v>52.333333333333336</v>
      </c>
      <c r="L4" t="str">
        <f t="shared" ca="1" si="4"/>
        <v>pass</v>
      </c>
    </row>
    <row r="5" spans="1:14" x14ac:dyDescent="0.3">
      <c r="A5" s="3" t="s">
        <v>3</v>
      </c>
      <c r="B5" s="5" t="s">
        <v>17</v>
      </c>
      <c r="C5" s="4" t="s">
        <v>15</v>
      </c>
      <c r="D5">
        <v>9</v>
      </c>
      <c r="E5">
        <v>4</v>
      </c>
      <c r="F5" t="s">
        <v>37</v>
      </c>
      <c r="G5" s="6">
        <f t="shared" ca="1" si="0"/>
        <v>68</v>
      </c>
      <c r="H5" s="6">
        <f t="shared" ca="1" si="1"/>
        <v>30</v>
      </c>
      <c r="I5" s="6">
        <f t="shared" ca="1" si="1"/>
        <v>52</v>
      </c>
      <c r="J5">
        <f t="shared" ca="1" si="2"/>
        <v>150</v>
      </c>
      <c r="K5" s="1">
        <f t="shared" ca="1" si="3"/>
        <v>50</v>
      </c>
      <c r="L5" t="str">
        <f t="shared" ca="1" si="4"/>
        <v>fail</v>
      </c>
    </row>
    <row r="6" spans="1:14" x14ac:dyDescent="0.3">
      <c r="A6" s="3" t="s">
        <v>4</v>
      </c>
      <c r="B6" s="5" t="s">
        <v>18</v>
      </c>
      <c r="C6" s="4" t="s">
        <v>26</v>
      </c>
      <c r="D6">
        <v>9</v>
      </c>
      <c r="E6">
        <v>5</v>
      </c>
      <c r="F6" t="s">
        <v>41</v>
      </c>
      <c r="G6" s="6">
        <f ca="1">RANDBETWEEN(50,70)</f>
        <v>55</v>
      </c>
      <c r="H6" s="6">
        <f t="shared" ca="1" si="1"/>
        <v>45</v>
      </c>
      <c r="I6" s="6">
        <f t="shared" ca="1" si="1"/>
        <v>51</v>
      </c>
      <c r="J6">
        <f ca="1">SUM(G6:I6)</f>
        <v>151</v>
      </c>
      <c r="K6" s="1">
        <f t="shared" ca="1" si="3"/>
        <v>50.333333333333336</v>
      </c>
      <c r="L6" t="str">
        <f ca="1">IF(AND(G6&gt;=40,H6&gt;=40,I6&gt;=40),"pass","fail")</f>
        <v>pass</v>
      </c>
      <c r="M6" s="7" t="s">
        <v>49</v>
      </c>
      <c r="N6" s="7">
        <f ca="1">COUNTIF(L2:L12,"pass")</f>
        <v>4</v>
      </c>
    </row>
    <row r="7" spans="1:14" x14ac:dyDescent="0.3">
      <c r="A7" s="3" t="s">
        <v>5</v>
      </c>
      <c r="B7" s="5" t="s">
        <v>19</v>
      </c>
      <c r="C7" s="4" t="s">
        <v>27</v>
      </c>
      <c r="D7">
        <v>9</v>
      </c>
      <c r="E7">
        <v>6</v>
      </c>
      <c r="F7" t="s">
        <v>38</v>
      </c>
      <c r="G7" s="6">
        <f t="shared" ca="1" si="0"/>
        <v>58</v>
      </c>
      <c r="H7" s="6">
        <f t="shared" ca="1" si="1"/>
        <v>31</v>
      </c>
      <c r="I7" s="6">
        <f t="shared" ca="1" si="1"/>
        <v>31</v>
      </c>
      <c r="J7">
        <f t="shared" ca="1" si="2"/>
        <v>120</v>
      </c>
      <c r="K7" s="1">
        <f t="shared" ca="1" si="3"/>
        <v>40</v>
      </c>
      <c r="L7" t="str">
        <f t="shared" ca="1" si="4"/>
        <v>fail</v>
      </c>
      <c r="M7" s="7" t="s">
        <v>53</v>
      </c>
      <c r="N7" s="7">
        <f ca="1">COUNTIF(L2:L12,"fail")</f>
        <v>7</v>
      </c>
    </row>
    <row r="8" spans="1:14" x14ac:dyDescent="0.3">
      <c r="A8" s="3" t="s">
        <v>6</v>
      </c>
      <c r="B8" s="5" t="s">
        <v>20</v>
      </c>
      <c r="C8" s="4" t="s">
        <v>28</v>
      </c>
      <c r="D8">
        <v>9</v>
      </c>
      <c r="E8">
        <v>7</v>
      </c>
      <c r="F8" t="s">
        <v>39</v>
      </c>
      <c r="G8" s="6">
        <f t="shared" ca="1" si="0"/>
        <v>70</v>
      </c>
      <c r="H8" s="6">
        <f t="shared" ca="1" si="1"/>
        <v>37</v>
      </c>
      <c r="I8" s="6">
        <f t="shared" ca="1" si="1"/>
        <v>42</v>
      </c>
      <c r="J8">
        <f t="shared" ca="1" si="2"/>
        <v>149</v>
      </c>
      <c r="K8" s="1">
        <f ca="1">AVERAGE(G8:I8)</f>
        <v>49.666666666666664</v>
      </c>
      <c r="L8" t="str">
        <f t="shared" ca="1" si="4"/>
        <v>fail</v>
      </c>
      <c r="M8" s="7" t="s">
        <v>50</v>
      </c>
      <c r="N8" s="7">
        <f ca="1">AVERAGE(J2:J12)</f>
        <v>137.27272727272728</v>
      </c>
    </row>
    <row r="9" spans="1:14" x14ac:dyDescent="0.3">
      <c r="A9" s="3" t="s">
        <v>7</v>
      </c>
      <c r="B9" s="5" t="s">
        <v>21</v>
      </c>
      <c r="C9" s="4" t="s">
        <v>15</v>
      </c>
      <c r="D9">
        <v>9</v>
      </c>
      <c r="E9">
        <v>8</v>
      </c>
      <c r="F9" t="s">
        <v>41</v>
      </c>
      <c r="G9" s="6">
        <f t="shared" ca="1" si="1"/>
        <v>38</v>
      </c>
      <c r="H9" s="6">
        <f t="shared" ca="1" si="1"/>
        <v>42</v>
      </c>
      <c r="I9" s="6">
        <f t="shared" ca="1" si="1"/>
        <v>34</v>
      </c>
      <c r="J9">
        <f t="shared" ca="1" si="2"/>
        <v>114</v>
      </c>
      <c r="K9" s="1">
        <f t="shared" ca="1" si="3"/>
        <v>38</v>
      </c>
      <c r="L9" t="str">
        <f t="shared" ca="1" si="4"/>
        <v>fail</v>
      </c>
    </row>
    <row r="10" spans="1:14" x14ac:dyDescent="0.3">
      <c r="A10" s="3" t="s">
        <v>8</v>
      </c>
      <c r="B10" s="5" t="s">
        <v>22</v>
      </c>
      <c r="C10" s="4" t="s">
        <v>29</v>
      </c>
      <c r="D10">
        <v>9</v>
      </c>
      <c r="E10">
        <v>9</v>
      </c>
      <c r="F10" t="s">
        <v>40</v>
      </c>
      <c r="G10" s="6">
        <f t="shared" ca="1" si="1"/>
        <v>35</v>
      </c>
      <c r="H10" s="6">
        <f t="shared" ca="1" si="1"/>
        <v>37</v>
      </c>
      <c r="I10" s="6">
        <f t="shared" ca="1" si="1"/>
        <v>51</v>
      </c>
      <c r="J10">
        <f t="shared" ca="1" si="2"/>
        <v>123</v>
      </c>
      <c r="K10" s="1">
        <f t="shared" ca="1" si="3"/>
        <v>41</v>
      </c>
      <c r="L10" t="str">
        <f t="shared" ca="1" si="4"/>
        <v>fail</v>
      </c>
    </row>
    <row r="11" spans="1:14" x14ac:dyDescent="0.3">
      <c r="A11" s="3" t="s">
        <v>9</v>
      </c>
      <c r="B11" s="5" t="s">
        <v>23</v>
      </c>
      <c r="C11" s="4" t="s">
        <v>30</v>
      </c>
      <c r="D11">
        <v>9</v>
      </c>
      <c r="E11">
        <v>10</v>
      </c>
      <c r="F11" t="s">
        <v>39</v>
      </c>
      <c r="G11" s="6">
        <f t="shared" ca="1" si="1"/>
        <v>38</v>
      </c>
      <c r="H11" s="6">
        <f t="shared" ca="1" si="1"/>
        <v>37</v>
      </c>
      <c r="I11" s="6">
        <f t="shared" ca="1" si="1"/>
        <v>46</v>
      </c>
      <c r="J11">
        <f t="shared" ca="1" si="2"/>
        <v>121</v>
      </c>
      <c r="K11" s="1">
        <f t="shared" ca="1" si="3"/>
        <v>40.333333333333336</v>
      </c>
      <c r="L11" t="str">
        <f t="shared" ca="1" si="4"/>
        <v>fail</v>
      </c>
    </row>
    <row r="12" spans="1:14" x14ac:dyDescent="0.3">
      <c r="A12" s="3" t="s">
        <v>10</v>
      </c>
      <c r="B12" s="5" t="s">
        <v>24</v>
      </c>
      <c r="C12" s="4" t="s">
        <v>31</v>
      </c>
      <c r="D12">
        <v>9</v>
      </c>
      <c r="E12">
        <v>11</v>
      </c>
      <c r="F12" t="s">
        <v>38</v>
      </c>
      <c r="G12" s="6">
        <f t="shared" ca="1" si="1"/>
        <v>36</v>
      </c>
      <c r="H12" s="6">
        <f t="shared" ca="1" si="1"/>
        <v>48</v>
      </c>
      <c r="I12" s="6">
        <f t="shared" ca="1" si="1"/>
        <v>39</v>
      </c>
      <c r="J12">
        <f t="shared" ca="1" si="2"/>
        <v>123</v>
      </c>
      <c r="K12" s="1">
        <f t="shared" ca="1" si="3"/>
        <v>41</v>
      </c>
      <c r="L12" t="str">
        <f t="shared" ca="1" si="4"/>
        <v>fail</v>
      </c>
    </row>
  </sheetData>
  <conditionalFormatting sqref="G2:I12">
    <cfRule type="cellIs" dxfId="3" priority="2" operator="lessThan">
      <formula>40</formula>
    </cfRule>
  </conditionalFormatting>
  <conditionalFormatting sqref="L2:L12">
    <cfRule type="containsText" dxfId="2" priority="1" operator="containsText" text="fail">
      <formula>NOT(ISERROR(SEARCH("fail",L2)))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9F14-4C97-4414-9087-6738412D1751}">
  <dimension ref="A1:N12"/>
  <sheetViews>
    <sheetView workbookViewId="0">
      <selection activeCell="L16" sqref="L16"/>
    </sheetView>
  </sheetViews>
  <sheetFormatPr defaultRowHeight="14.4" x14ac:dyDescent="0.3"/>
  <cols>
    <col min="13" max="13" width="18" customWidth="1"/>
  </cols>
  <sheetData>
    <row r="1" spans="1:14" x14ac:dyDescent="0.3">
      <c r="A1" s="2" t="s">
        <v>11</v>
      </c>
      <c r="B1" s="2" t="s">
        <v>12</v>
      </c>
      <c r="C1" s="2" t="s">
        <v>13</v>
      </c>
      <c r="D1" s="2" t="s">
        <v>32</v>
      </c>
      <c r="E1" s="2" t="s">
        <v>33</v>
      </c>
      <c r="F1" s="2" t="s">
        <v>34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4" x14ac:dyDescent="0.3">
      <c r="A2" s="3" t="s">
        <v>0</v>
      </c>
      <c r="B2" s="5" t="s">
        <v>14</v>
      </c>
      <c r="C2" s="4" t="s">
        <v>15</v>
      </c>
      <c r="D2">
        <v>9</v>
      </c>
      <c r="E2">
        <v>1</v>
      </c>
      <c r="F2" t="s">
        <v>35</v>
      </c>
      <c r="G2" s="6">
        <f ca="1">RANDBETWEEN(30,55)</f>
        <v>47</v>
      </c>
      <c r="H2" s="6">
        <f ca="1">RANDBETWEEN(30,55)</f>
        <v>35</v>
      </c>
      <c r="I2" s="6">
        <f ca="1">RANDBETWEEN(30,55)</f>
        <v>33</v>
      </c>
      <c r="J2">
        <f ca="1">SUM(G2:I2)</f>
        <v>115</v>
      </c>
      <c r="K2" s="1">
        <f ca="1">AVERAGE(G2:I2)</f>
        <v>38.333333333333336</v>
      </c>
      <c r="L2" t="str">
        <f ca="1">IF(AND(J2&gt;=120),"pass","fail")</f>
        <v>fail</v>
      </c>
    </row>
    <row r="3" spans="1:14" x14ac:dyDescent="0.3">
      <c r="A3" s="3" t="s">
        <v>1</v>
      </c>
      <c r="B3" s="5" t="s">
        <v>16</v>
      </c>
      <c r="C3" s="4" t="s">
        <v>15</v>
      </c>
      <c r="D3">
        <v>9</v>
      </c>
      <c r="E3">
        <v>2</v>
      </c>
      <c r="F3" t="s">
        <v>41</v>
      </c>
      <c r="G3" s="6">
        <f t="shared" ref="G3:I12" ca="1" si="0">RANDBETWEEN(30,55)</f>
        <v>34</v>
      </c>
      <c r="H3" s="6">
        <f t="shared" ca="1" si="0"/>
        <v>41</v>
      </c>
      <c r="I3" s="6">
        <f t="shared" ca="1" si="0"/>
        <v>35</v>
      </c>
      <c r="J3">
        <f t="shared" ref="J3:J12" ca="1" si="1">SUM(G3:I3)</f>
        <v>110</v>
      </c>
      <c r="K3" s="1">
        <f t="shared" ref="K3:K12" ca="1" si="2">AVERAGE(G3:I3)</f>
        <v>36.666666666666664</v>
      </c>
      <c r="L3" t="str">
        <f t="shared" ref="L3:L12" ca="1" si="3">IF(AND(J3&gt;=120),"pass","fail")</f>
        <v>fail</v>
      </c>
    </row>
    <row r="4" spans="1:14" x14ac:dyDescent="0.3">
      <c r="A4" s="3" t="s">
        <v>2</v>
      </c>
      <c r="B4" s="5" t="s">
        <v>14</v>
      </c>
      <c r="C4" s="4" t="s">
        <v>25</v>
      </c>
      <c r="D4">
        <v>9</v>
      </c>
      <c r="E4">
        <v>3</v>
      </c>
      <c r="F4" t="s">
        <v>36</v>
      </c>
      <c r="G4" s="6">
        <f t="shared" ca="1" si="0"/>
        <v>36</v>
      </c>
      <c r="H4" s="6">
        <f t="shared" ca="1" si="0"/>
        <v>48</v>
      </c>
      <c r="I4" s="6">
        <f t="shared" ca="1" si="0"/>
        <v>37</v>
      </c>
      <c r="J4">
        <f t="shared" ca="1" si="1"/>
        <v>121</v>
      </c>
      <c r="K4" s="1">
        <f t="shared" ca="1" si="2"/>
        <v>40.333333333333336</v>
      </c>
      <c r="L4" t="str">
        <f t="shared" ca="1" si="3"/>
        <v>pass</v>
      </c>
    </row>
    <row r="5" spans="1:14" x14ac:dyDescent="0.3">
      <c r="A5" s="3" t="s">
        <v>3</v>
      </c>
      <c r="B5" s="5" t="s">
        <v>17</v>
      </c>
      <c r="C5" s="4" t="s">
        <v>15</v>
      </c>
      <c r="D5">
        <v>9</v>
      </c>
      <c r="E5">
        <v>4</v>
      </c>
      <c r="F5" t="s">
        <v>37</v>
      </c>
      <c r="G5" s="6">
        <f t="shared" ca="1" si="0"/>
        <v>45</v>
      </c>
      <c r="H5" s="6">
        <f t="shared" ca="1" si="0"/>
        <v>33</v>
      </c>
      <c r="I5" s="6">
        <f t="shared" ca="1" si="0"/>
        <v>39</v>
      </c>
      <c r="J5">
        <f t="shared" ca="1" si="1"/>
        <v>117</v>
      </c>
      <c r="K5" s="1">
        <f t="shared" ca="1" si="2"/>
        <v>39</v>
      </c>
      <c r="L5" t="str">
        <f t="shared" ca="1" si="3"/>
        <v>fail</v>
      </c>
    </row>
    <row r="6" spans="1:14" x14ac:dyDescent="0.3">
      <c r="A6" s="3" t="s">
        <v>4</v>
      </c>
      <c r="B6" s="5" t="s">
        <v>18</v>
      </c>
      <c r="C6" s="4" t="s">
        <v>26</v>
      </c>
      <c r="D6">
        <v>9</v>
      </c>
      <c r="E6">
        <v>5</v>
      </c>
      <c r="F6" t="s">
        <v>41</v>
      </c>
      <c r="G6" s="6">
        <f t="shared" ca="1" si="0"/>
        <v>52</v>
      </c>
      <c r="H6" s="6">
        <f t="shared" ca="1" si="0"/>
        <v>38</v>
      </c>
      <c r="I6" s="6">
        <f t="shared" ca="1" si="0"/>
        <v>34</v>
      </c>
      <c r="J6">
        <f t="shared" ca="1" si="1"/>
        <v>124</v>
      </c>
      <c r="K6" s="1">
        <f t="shared" ca="1" si="2"/>
        <v>41.333333333333336</v>
      </c>
      <c r="L6" t="str">
        <f t="shared" ca="1" si="3"/>
        <v>pass</v>
      </c>
      <c r="M6" s="7" t="s">
        <v>49</v>
      </c>
      <c r="N6" s="7">
        <f ca="1">COUNTIF(L2:L12,"pass")</f>
        <v>6</v>
      </c>
    </row>
    <row r="7" spans="1:14" x14ac:dyDescent="0.3">
      <c r="A7" s="3" t="s">
        <v>5</v>
      </c>
      <c r="B7" s="5" t="s">
        <v>19</v>
      </c>
      <c r="C7" s="4" t="s">
        <v>27</v>
      </c>
      <c r="D7">
        <v>9</v>
      </c>
      <c r="E7">
        <v>6</v>
      </c>
      <c r="F7" t="s">
        <v>38</v>
      </c>
      <c r="G7" s="6">
        <f t="shared" ca="1" si="0"/>
        <v>30</v>
      </c>
      <c r="H7" s="6">
        <f t="shared" ca="1" si="0"/>
        <v>49</v>
      </c>
      <c r="I7" s="6">
        <f t="shared" ca="1" si="0"/>
        <v>32</v>
      </c>
      <c r="J7">
        <f t="shared" ca="1" si="1"/>
        <v>111</v>
      </c>
      <c r="K7" s="1">
        <f t="shared" ca="1" si="2"/>
        <v>37</v>
      </c>
      <c r="L7" t="str">
        <f t="shared" ca="1" si="3"/>
        <v>fail</v>
      </c>
      <c r="M7" s="7" t="s">
        <v>48</v>
      </c>
      <c r="N7" s="7">
        <f ca="1">COUNTIF(L2:L12,"fail")</f>
        <v>5</v>
      </c>
    </row>
    <row r="8" spans="1:14" x14ac:dyDescent="0.3">
      <c r="A8" s="3" t="s">
        <v>6</v>
      </c>
      <c r="B8" s="5" t="s">
        <v>20</v>
      </c>
      <c r="C8" s="4" t="s">
        <v>28</v>
      </c>
      <c r="D8">
        <v>9</v>
      </c>
      <c r="E8">
        <v>7</v>
      </c>
      <c r="F8" t="s">
        <v>39</v>
      </c>
      <c r="G8" s="6">
        <f t="shared" ca="1" si="0"/>
        <v>41</v>
      </c>
      <c r="H8" s="6">
        <f t="shared" ca="1" si="0"/>
        <v>50</v>
      </c>
      <c r="I8" s="6">
        <f t="shared" ca="1" si="0"/>
        <v>35</v>
      </c>
      <c r="J8">
        <f t="shared" ca="1" si="1"/>
        <v>126</v>
      </c>
      <c r="K8" s="1">
        <f t="shared" ca="1" si="2"/>
        <v>42</v>
      </c>
      <c r="L8" t="str">
        <f t="shared" ca="1" si="3"/>
        <v>pass</v>
      </c>
      <c r="M8" s="7" t="s">
        <v>50</v>
      </c>
      <c r="N8" s="7">
        <f ca="1">AVERAGE(J2:J12)</f>
        <v>119.81818181818181</v>
      </c>
    </row>
    <row r="9" spans="1:14" x14ac:dyDescent="0.3">
      <c r="A9" s="3" t="s">
        <v>7</v>
      </c>
      <c r="B9" s="5" t="s">
        <v>21</v>
      </c>
      <c r="C9" s="4" t="s">
        <v>15</v>
      </c>
      <c r="D9">
        <v>9</v>
      </c>
      <c r="E9">
        <v>8</v>
      </c>
      <c r="F9" t="s">
        <v>41</v>
      </c>
      <c r="G9" s="6">
        <f t="shared" ca="1" si="0"/>
        <v>43</v>
      </c>
      <c r="H9" s="6">
        <f t="shared" ca="1" si="0"/>
        <v>39</v>
      </c>
      <c r="I9" s="6">
        <f t="shared" ca="1" si="0"/>
        <v>37</v>
      </c>
      <c r="J9">
        <f t="shared" ca="1" si="1"/>
        <v>119</v>
      </c>
      <c r="K9" s="1">
        <f t="shared" ca="1" si="2"/>
        <v>39.666666666666664</v>
      </c>
      <c r="L9" t="str">
        <f t="shared" ca="1" si="3"/>
        <v>fail</v>
      </c>
      <c r="M9" s="7" t="s">
        <v>51</v>
      </c>
      <c r="N9" s="7">
        <f ca="1">MAX(J2:J12)</f>
        <v>128</v>
      </c>
    </row>
    <row r="10" spans="1:14" x14ac:dyDescent="0.3">
      <c r="A10" s="3" t="s">
        <v>8</v>
      </c>
      <c r="B10" s="5" t="s">
        <v>22</v>
      </c>
      <c r="C10" s="4" t="s">
        <v>29</v>
      </c>
      <c r="D10">
        <v>9</v>
      </c>
      <c r="E10">
        <v>9</v>
      </c>
      <c r="F10" t="s">
        <v>40</v>
      </c>
      <c r="G10" s="6">
        <f t="shared" ca="1" si="0"/>
        <v>35</v>
      </c>
      <c r="H10" s="6">
        <f t="shared" ca="1" si="0"/>
        <v>43</v>
      </c>
      <c r="I10" s="6">
        <f t="shared" ca="1" si="0"/>
        <v>50</v>
      </c>
      <c r="J10">
        <f t="shared" ca="1" si="1"/>
        <v>128</v>
      </c>
      <c r="K10" s="1">
        <f t="shared" ca="1" si="2"/>
        <v>42.666666666666664</v>
      </c>
      <c r="L10" t="str">
        <f t="shared" ca="1" si="3"/>
        <v>pass</v>
      </c>
      <c r="M10" s="7" t="s">
        <v>52</v>
      </c>
      <c r="N10" s="7">
        <f ca="1">MIN(J2:J12)</f>
        <v>110</v>
      </c>
    </row>
    <row r="11" spans="1:14" x14ac:dyDescent="0.3">
      <c r="A11" s="3" t="s">
        <v>9</v>
      </c>
      <c r="B11" s="5" t="s">
        <v>23</v>
      </c>
      <c r="C11" s="4" t="s">
        <v>30</v>
      </c>
      <c r="D11">
        <v>9</v>
      </c>
      <c r="E11">
        <v>10</v>
      </c>
      <c r="F11" t="s">
        <v>39</v>
      </c>
      <c r="G11" s="6">
        <f t="shared" ca="1" si="0"/>
        <v>44</v>
      </c>
      <c r="H11" s="6">
        <f t="shared" ca="1" si="0"/>
        <v>40</v>
      </c>
      <c r="I11" s="6">
        <f t="shared" ca="1" si="0"/>
        <v>36</v>
      </c>
      <c r="J11">
        <f t="shared" ca="1" si="1"/>
        <v>120</v>
      </c>
      <c r="K11" s="1">
        <f t="shared" ca="1" si="2"/>
        <v>40</v>
      </c>
      <c r="L11" t="str">
        <f t="shared" ca="1" si="3"/>
        <v>pass</v>
      </c>
    </row>
    <row r="12" spans="1:14" x14ac:dyDescent="0.3">
      <c r="A12" s="3" t="s">
        <v>10</v>
      </c>
      <c r="B12" s="5" t="s">
        <v>24</v>
      </c>
      <c r="C12" s="4" t="s">
        <v>31</v>
      </c>
      <c r="D12">
        <v>9</v>
      </c>
      <c r="E12">
        <v>11</v>
      </c>
      <c r="F12" t="s">
        <v>38</v>
      </c>
      <c r="G12" s="6">
        <f t="shared" ca="1" si="0"/>
        <v>50</v>
      </c>
      <c r="H12" s="6">
        <f t="shared" ca="1" si="0"/>
        <v>36</v>
      </c>
      <c r="I12" s="6">
        <f t="shared" ca="1" si="0"/>
        <v>41</v>
      </c>
      <c r="J12">
        <f t="shared" ca="1" si="1"/>
        <v>127</v>
      </c>
      <c r="K12" s="1">
        <f t="shared" ca="1" si="2"/>
        <v>42.333333333333336</v>
      </c>
      <c r="L12" t="str">
        <f t="shared" ca="1" si="3"/>
        <v>pass</v>
      </c>
    </row>
  </sheetData>
  <conditionalFormatting sqref="G2:I12">
    <cfRule type="cellIs" dxfId="1" priority="2" operator="lessThan">
      <formula>40</formula>
    </cfRule>
  </conditionalFormatting>
  <conditionalFormatting sqref="L2:L12">
    <cfRule type="containsText" dxfId="0" priority="1" operator="containsText" text="fail">
      <formula>NOT(ISERROR(SEARCH("fail",L2)))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C982-2389-41E0-9477-F2AFA722F204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marks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Raj</dc:creator>
  <cp:lastModifiedBy>Shivam Raj</cp:lastModifiedBy>
  <dcterms:created xsi:type="dcterms:W3CDTF">2025-12-30T05:44:03Z</dcterms:created>
  <dcterms:modified xsi:type="dcterms:W3CDTF">2026-01-04T08:34:44Z</dcterms:modified>
</cp:coreProperties>
</file>