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A310963-158E-4C5D-9F13-EFF83C4E1D19}" xr6:coauthVersionLast="47" xr6:coauthVersionMax="47" xr10:uidLastSave="{00000000-0000-0000-0000-000000000000}"/>
  <bookViews>
    <workbookView xWindow="-108" yWindow="-108" windowWidth="23256" windowHeight="12456" xr2:uid="{8BC17470-9A79-4CFE-B10C-AE2D2F4040D0}"/>
  </bookViews>
  <sheets>
    <sheet name="Store Sales" sheetId="1" r:id="rId1"/>
    <sheet name="Summary" sheetId="2" r:id="rId2"/>
    <sheet name="Chart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F16" i="2"/>
  <c r="G15" i="2"/>
  <c r="F15" i="2"/>
  <c r="C15" i="2"/>
  <c r="G14" i="2"/>
  <c r="F14" i="2"/>
  <c r="C14" i="2"/>
  <c r="H8" i="2"/>
  <c r="G8" i="2"/>
  <c r="H7" i="2"/>
  <c r="G7" i="2"/>
  <c r="H6" i="2"/>
  <c r="G6" i="2"/>
  <c r="H5" i="2"/>
  <c r="G5" i="2"/>
  <c r="H4" i="2"/>
  <c r="G4" i="2"/>
  <c r="H3" i="2"/>
  <c r="G3" i="2"/>
  <c r="H9" i="1"/>
  <c r="G9" i="1"/>
  <c r="F9" i="1"/>
  <c r="H8" i="1"/>
  <c r="G8" i="1"/>
  <c r="F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<sst xmlns="http://schemas.openxmlformats.org/spreadsheetml/2006/main" count="71" uniqueCount="34">
  <si>
    <t>Store_Sales sheet</t>
  </si>
  <si>
    <t>Column1</t>
  </si>
  <si>
    <t>Column2</t>
  </si>
  <si>
    <t>Column3</t>
  </si>
  <si>
    <t>Column4</t>
  </si>
  <si>
    <t>Column5</t>
  </si>
  <si>
    <t>Column6</t>
  </si>
  <si>
    <t>Column7</t>
  </si>
  <si>
    <t>Date</t>
  </si>
  <si>
    <t>Product</t>
  </si>
  <si>
    <t>Category</t>
  </si>
  <si>
    <t>Quantity</t>
  </si>
  <si>
    <t>Price</t>
  </si>
  <si>
    <t>Total Sales</t>
  </si>
  <si>
    <t>First Three Letters</t>
  </si>
  <si>
    <t>Last 2 Letters</t>
  </si>
  <si>
    <t>Headphones</t>
  </si>
  <si>
    <t>Electronics</t>
  </si>
  <si>
    <t>Keyboard</t>
  </si>
  <si>
    <t>Mouse</t>
  </si>
  <si>
    <t>Notebook</t>
  </si>
  <si>
    <t>Stationery</t>
  </si>
  <si>
    <t>Pen</t>
  </si>
  <si>
    <t>Pen Drive</t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</si>
  <si>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To calculate </t>
    </r>
    <r>
      <rPr>
        <b/>
        <sz val="11"/>
        <color theme="4"/>
        <rFont val="Aptos Narrow"/>
        <family val="2"/>
        <scheme val="minor"/>
      </rPr>
      <t>Total Sales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4"/>
        <rFont val="Aptos Narrow"/>
        <family val="2"/>
        <scheme val="minor"/>
      </rPr>
      <t>(=D2*E2)</t>
    </r>
  </si>
  <si>
    <t>Column8</t>
  </si>
  <si>
    <t>Month</t>
  </si>
  <si>
    <t>Jan</t>
  </si>
  <si>
    <t>Feb</t>
  </si>
  <si>
    <t>Mar</t>
  </si>
  <si>
    <t>Sum</t>
  </si>
  <si>
    <t>Average</t>
  </si>
  <si>
    <t>Highest sale</t>
  </si>
  <si>
    <t>Lowest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</si>
</sst>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m/d/yy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Total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[1]Summary!$E$14:$E$16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[1]Summary!$F$14:$F$16</c:f>
              <c:numCache>
                <c:formatCode>General</c:formatCode>
                <c:ptCount val="3"/>
                <c:pt idx="0">
                  <c:v>25000</c:v>
                </c:pt>
                <c:pt idx="1">
                  <c:v>8400</c:v>
                </c:pt>
                <c:pt idx="2">
                  <c:v>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4-456A-A23B-B6FDEDC7C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10411488"/>
        <c:axId val="210418688"/>
      </c:lineChart>
      <c:catAx>
        <c:axId val="21041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18688"/>
        <c:crosses val="autoZero"/>
        <c:auto val="1"/>
        <c:lblAlgn val="ctr"/>
        <c:lblOffset val="100"/>
        <c:noMultiLvlLbl val="0"/>
      </c:catAx>
      <c:valAx>
        <c:axId val="210418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1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53340</xdr:rowOff>
    </xdr:from>
    <xdr:to>
      <xdr:col>14</xdr:col>
      <xdr:colOff>274320</xdr:colOff>
      <xdr:row>20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1F060-29AE-4C3F-B713-9C040B1A9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ssignment-14.xlsx" TargetMode="External"/><Relationship Id="rId1" Type="http://schemas.openxmlformats.org/officeDocument/2006/relationships/externalLinkPath" Target="Assignment-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re_Sales"/>
      <sheetName val="Summary"/>
      <sheetName val="Charts"/>
    </sheetNames>
    <sheetDataSet>
      <sheetData sheetId="0"/>
      <sheetData sheetId="1">
        <row r="14">
          <cell r="E14" t="str">
            <v>Jan</v>
          </cell>
          <cell r="F14">
            <v>25000</v>
          </cell>
        </row>
        <row r="15">
          <cell r="E15" t="str">
            <v>Feb</v>
          </cell>
          <cell r="F15">
            <v>8400</v>
          </cell>
        </row>
        <row r="16">
          <cell r="E16" t="str">
            <v>Mar</v>
          </cell>
          <cell r="F16">
            <v>6400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6EB043-6307-406C-AF92-11B741A5A16A}" name="Table1" displayName="Table1" ref="A1:I8" totalsRowShown="0" headerRowDxfId="19" dataDxfId="18" headerRowBorderDxfId="16" tableBorderDxfId="17" totalsRowBorderDxfId="15">
  <autoFilter ref="A1:I8" xr:uid="{C96EB043-6307-406C-AF92-11B741A5A16A}"/>
  <tableColumns count="9">
    <tableColumn id="1" xr3:uid="{82719580-6C9A-4632-80BA-987228DB1E3D}" name="Store_Sales sheet" dataDxfId="14"/>
    <tableColumn id="2" xr3:uid="{B43E110D-7930-453F-93FB-C6C24FC37A31}" name="Column1" dataDxfId="13"/>
    <tableColumn id="3" xr3:uid="{07E317D3-517D-40A7-8C23-7FE329E81DC5}" name="Column2" dataDxfId="12"/>
    <tableColumn id="4" xr3:uid="{EE847E6C-68E5-4E03-85DB-6219A0AA506D}" name="Column3" dataDxfId="11"/>
    <tableColumn id="5" xr3:uid="{9BFDDB75-200E-4845-906D-295C42FEF4BE}" name="Column4" dataDxfId="10"/>
    <tableColumn id="6" xr3:uid="{39F0A27C-E391-481B-B8A0-242172237C09}" name="Column5" dataDxfId="9"/>
    <tableColumn id="7" xr3:uid="{3D1FA917-21A0-4769-814E-E58E4069F56A}" name="Column6" dataDxfId="8">
      <calculatedColumnFormula>LEFT(B2,3)</calculatedColumnFormula>
    </tableColumn>
    <tableColumn id="8" xr3:uid="{E576935E-C008-478F-ADDC-5D96AB7281AF}" name="Column7" dataDxfId="7">
      <calculatedColumnFormula>RIGHT(C2,2)</calculatedColumnFormula>
    </tableColumn>
    <tableColumn id="9" xr3:uid="{6AC66362-BF64-4090-9F3B-9278B1C2340B}" name="Column8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102086-C9B8-46B6-9336-D887E4403DB1}" name="Table2" displayName="Table2" ref="E13:G16" totalsRowShown="0" dataDxfId="5">
  <autoFilter ref="E13:G16" xr:uid="{89102086-C9B8-46B6-9336-D887E4403DB1}"/>
  <tableColumns count="3">
    <tableColumn id="1" xr3:uid="{EFE68455-3B65-4E9D-8C5A-455787130B54}" name="Month" dataDxfId="4"/>
    <tableColumn id="2" xr3:uid="{854F351E-6115-40E0-A715-B392662E0638}" name="Sum" dataDxfId="3"/>
    <tableColumn id="3" xr3:uid="{A4CCC82B-ACAA-4024-8417-E0122BFF6FBF}" name="Average" dataDxfId="2">
      <calculatedColumnFormula>AVERAGEIF(I3:I8,"Jan",F3:F8)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8444CD-5E0F-4DDC-BD9B-3C07F63DE358}" name="Table3" displayName="Table3" ref="B13:C15" totalsRowShown="0">
  <autoFilter ref="B13:C15" xr:uid="{438444CD-5E0F-4DDC-BD9B-3C07F63DE358}"/>
  <tableColumns count="2">
    <tableColumn id="1" xr3:uid="{CAAA1DBF-564D-47E9-A4E2-C8F19E8C11FE}" name="Column1" dataDxfId="1"/>
    <tableColumn id="2" xr3:uid="{11F0A2FD-B8E6-4D6D-92E2-35E115F13736}" name="Column2" dataDxfId="0">
      <calculatedColumnFormula>MIN(F2:F7)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3290-B150-40DF-83A1-CCC4E6CD517D}">
  <dimension ref="A1:H12"/>
  <sheetViews>
    <sheetView tabSelected="1" zoomScaleNormal="100" workbookViewId="0">
      <selection activeCell="A12" sqref="A12:C12"/>
    </sheetView>
  </sheetViews>
  <sheetFormatPr defaultRowHeight="14.4" x14ac:dyDescent="0.3"/>
  <cols>
    <col min="1" max="1" width="16.5546875" customWidth="1"/>
    <col min="2" max="2" width="12.88671875" customWidth="1"/>
    <col min="3" max="3" width="13" customWidth="1"/>
    <col min="7" max="7" width="14.109375" customWidth="1"/>
    <col min="8" max="8" width="11.33203125" customWidth="1"/>
  </cols>
  <sheetData>
    <row r="1" spans="1:8" ht="46.8" x14ac:dyDescent="0.3">
      <c r="A1" s="24" t="s">
        <v>8</v>
      </c>
      <c r="B1" s="24" t="s">
        <v>9</v>
      </c>
      <c r="C1" s="24" t="s">
        <v>10</v>
      </c>
      <c r="D1" s="24" t="s">
        <v>11</v>
      </c>
      <c r="E1" s="24" t="s">
        <v>12</v>
      </c>
      <c r="F1" s="24" t="s">
        <v>13</v>
      </c>
      <c r="G1" s="24" t="s">
        <v>14</v>
      </c>
      <c r="H1" s="24" t="s">
        <v>15</v>
      </c>
    </row>
    <row r="2" spans="1:8" ht="31.2" x14ac:dyDescent="0.3">
      <c r="A2" s="25">
        <v>45658</v>
      </c>
      <c r="B2" s="3" t="s">
        <v>16</v>
      </c>
      <c r="C2" s="3" t="s">
        <v>17</v>
      </c>
      <c r="D2" s="3">
        <v>5</v>
      </c>
      <c r="E2" s="3">
        <v>1000</v>
      </c>
      <c r="F2" s="4">
        <v>5000</v>
      </c>
      <c r="G2" s="4" t="str">
        <f>LEFT(B2,3)</f>
        <v>Hea</v>
      </c>
      <c r="H2" s="4" t="str">
        <f>RIGHT(C2,2)</f>
        <v>cs</v>
      </c>
    </row>
    <row r="3" spans="1:8" ht="31.2" x14ac:dyDescent="0.3">
      <c r="A3" s="26">
        <v>45658</v>
      </c>
      <c r="B3" s="27" t="s">
        <v>16</v>
      </c>
      <c r="C3" s="27" t="s">
        <v>17</v>
      </c>
      <c r="D3" s="27">
        <v>5</v>
      </c>
      <c r="E3" s="27">
        <v>1500</v>
      </c>
      <c r="F3" s="28">
        <v>7500</v>
      </c>
      <c r="G3" s="28" t="str">
        <f t="shared" ref="G3:G8" si="0">LEFT(B3,3)</f>
        <v>Hea</v>
      </c>
      <c r="H3" s="28" t="str">
        <f t="shared" ref="H3:H8" si="1">RIGHT(C3,2)</f>
        <v>cs</v>
      </c>
    </row>
    <row r="4" spans="1:8" ht="31.2" x14ac:dyDescent="0.3">
      <c r="A4" s="25">
        <v>45658</v>
      </c>
      <c r="B4" s="3" t="s">
        <v>16</v>
      </c>
      <c r="C4" s="3" t="s">
        <v>17</v>
      </c>
      <c r="D4" s="3">
        <v>5</v>
      </c>
      <c r="E4" s="3">
        <v>1500</v>
      </c>
      <c r="F4" s="4">
        <v>7500</v>
      </c>
      <c r="G4" s="4" t="str">
        <f t="shared" si="0"/>
        <v>Hea</v>
      </c>
      <c r="H4" s="4" t="str">
        <f t="shared" si="1"/>
        <v>cs</v>
      </c>
    </row>
    <row r="5" spans="1:8" ht="31.2" x14ac:dyDescent="0.3">
      <c r="A5" s="26">
        <v>45700</v>
      </c>
      <c r="B5" s="27" t="s">
        <v>18</v>
      </c>
      <c r="C5" s="27" t="s">
        <v>17</v>
      </c>
      <c r="D5" s="27">
        <v>7</v>
      </c>
      <c r="E5" s="27">
        <v>1200</v>
      </c>
      <c r="F5" s="28">
        <v>8400</v>
      </c>
      <c r="G5" s="28" t="str">
        <f t="shared" si="0"/>
        <v>Key</v>
      </c>
      <c r="H5" s="28" t="str">
        <f t="shared" si="1"/>
        <v>cs</v>
      </c>
    </row>
    <row r="6" spans="1:8" ht="31.2" x14ac:dyDescent="0.3">
      <c r="A6" s="25">
        <v>45662</v>
      </c>
      <c r="B6" s="3" t="s">
        <v>19</v>
      </c>
      <c r="C6" s="3" t="s">
        <v>17</v>
      </c>
      <c r="D6" s="3">
        <v>10</v>
      </c>
      <c r="E6" s="3">
        <v>500</v>
      </c>
      <c r="F6" s="4">
        <v>5000</v>
      </c>
      <c r="G6" s="4" t="str">
        <f t="shared" si="0"/>
        <v>Mou</v>
      </c>
      <c r="H6" s="4" t="str">
        <f t="shared" si="1"/>
        <v>cs</v>
      </c>
    </row>
    <row r="7" spans="1:8" ht="31.2" x14ac:dyDescent="0.3">
      <c r="A7" s="26">
        <v>45706</v>
      </c>
      <c r="B7" s="27" t="s">
        <v>20</v>
      </c>
      <c r="C7" s="27" t="s">
        <v>21</v>
      </c>
      <c r="D7" s="27">
        <v>20</v>
      </c>
      <c r="E7" s="27">
        <v>100</v>
      </c>
      <c r="F7" s="28">
        <v>6400</v>
      </c>
      <c r="G7" s="28" t="str">
        <f t="shared" si="0"/>
        <v>Not</v>
      </c>
      <c r="H7" s="28" t="str">
        <f t="shared" si="1"/>
        <v>ry</v>
      </c>
    </row>
    <row r="8" spans="1:8" ht="31.2" x14ac:dyDescent="0.3">
      <c r="A8" s="25">
        <v>45738</v>
      </c>
      <c r="B8" s="3" t="s">
        <v>22</v>
      </c>
      <c r="C8" s="3" t="s">
        <v>21</v>
      </c>
      <c r="D8" s="3">
        <v>50</v>
      </c>
      <c r="E8" s="3">
        <v>20</v>
      </c>
      <c r="F8" s="4">
        <f>D8*E8</f>
        <v>1000</v>
      </c>
      <c r="G8" s="4" t="str">
        <f t="shared" si="0"/>
        <v>Pen</v>
      </c>
      <c r="H8" s="4" t="str">
        <f t="shared" si="1"/>
        <v>ry</v>
      </c>
    </row>
    <row r="9" spans="1:8" ht="31.2" x14ac:dyDescent="0.3">
      <c r="A9" s="26">
        <v>45726</v>
      </c>
      <c r="B9" s="27" t="s">
        <v>23</v>
      </c>
      <c r="C9" s="27" t="s">
        <v>17</v>
      </c>
      <c r="D9" s="27">
        <v>8</v>
      </c>
      <c r="E9" s="27">
        <v>800</v>
      </c>
      <c r="F9" s="28">
        <f>D9*E9</f>
        <v>6400</v>
      </c>
      <c r="G9" s="28" t="str">
        <f>LEFT(B9,3)</f>
        <v>Pen</v>
      </c>
      <c r="H9" s="28" t="str">
        <f>RIGHT(C9,2)</f>
        <v>cs</v>
      </c>
    </row>
    <row r="12" spans="1:8" x14ac:dyDescent="0.3">
      <c r="A12" s="1" t="s">
        <v>24</v>
      </c>
      <c r="B12" s="1"/>
      <c r="C12" s="1"/>
    </row>
  </sheetData>
  <mergeCells count="1">
    <mergeCell ref="A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F2AD-8E64-4D7F-8718-CE7CA761C2CA}">
  <dimension ref="A1:I18"/>
  <sheetViews>
    <sheetView topLeftCell="B1" workbookViewId="0">
      <selection activeCell="E8" sqref="E8"/>
    </sheetView>
  </sheetViews>
  <sheetFormatPr defaultRowHeight="14.4" x14ac:dyDescent="0.3"/>
  <cols>
    <col min="1" max="1" width="17.33203125" customWidth="1"/>
    <col min="2" max="2" width="16.5546875" customWidth="1"/>
    <col min="3" max="3" width="16.88671875" customWidth="1"/>
    <col min="4" max="4" width="10.88671875" customWidth="1"/>
    <col min="5" max="5" width="11.77734375" customWidth="1"/>
    <col min="6" max="6" width="12.33203125" customWidth="1"/>
    <col min="7" max="7" width="12" customWidth="1"/>
    <col min="8" max="8" width="10.21875" customWidth="1"/>
    <col min="9" max="9" width="11.33203125" customWidth="1"/>
  </cols>
  <sheetData>
    <row r="1" spans="1:9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7" t="s">
        <v>7</v>
      </c>
      <c r="I1" s="18" t="s">
        <v>25</v>
      </c>
    </row>
    <row r="2" spans="1:9" ht="43.2" x14ac:dyDescent="0.3">
      <c r="A2" s="11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14" t="s">
        <v>26</v>
      </c>
    </row>
    <row r="3" spans="1:9" ht="28.8" x14ac:dyDescent="0.3">
      <c r="A3" s="12">
        <v>45658</v>
      </c>
      <c r="B3" s="7" t="s">
        <v>16</v>
      </c>
      <c r="C3" s="7" t="s">
        <v>17</v>
      </c>
      <c r="D3" s="7">
        <v>5</v>
      </c>
      <c r="E3" s="7">
        <v>1000</v>
      </c>
      <c r="F3" s="8">
        <v>5000</v>
      </c>
      <c r="G3" s="8" t="str">
        <f>LEFT(B3,3)</f>
        <v>Hea</v>
      </c>
      <c r="H3" s="8" t="str">
        <f>RIGHT(C3,2)</f>
        <v>cs</v>
      </c>
      <c r="I3" s="13" t="s">
        <v>27</v>
      </c>
    </row>
    <row r="4" spans="1:9" ht="28.8" x14ac:dyDescent="0.3">
      <c r="A4" s="12">
        <v>45658</v>
      </c>
      <c r="B4" s="7" t="s">
        <v>16</v>
      </c>
      <c r="C4" s="7" t="s">
        <v>17</v>
      </c>
      <c r="D4" s="7">
        <v>5</v>
      </c>
      <c r="E4" s="7">
        <v>1500</v>
      </c>
      <c r="F4" s="8">
        <v>7500</v>
      </c>
      <c r="G4" s="8" t="str">
        <f t="shared" ref="G4:G8" si="0">LEFT(B4,3)</f>
        <v>Hea</v>
      </c>
      <c r="H4" s="8" t="str">
        <f t="shared" ref="H4:H8" si="1">RIGHT(C4,2)</f>
        <v>cs</v>
      </c>
      <c r="I4" s="13" t="s">
        <v>27</v>
      </c>
    </row>
    <row r="5" spans="1:9" ht="28.8" x14ac:dyDescent="0.3">
      <c r="A5" s="12">
        <v>45658</v>
      </c>
      <c r="B5" s="7" t="s">
        <v>16</v>
      </c>
      <c r="C5" s="7" t="s">
        <v>17</v>
      </c>
      <c r="D5" s="7">
        <v>5</v>
      </c>
      <c r="E5" s="7">
        <v>1500</v>
      </c>
      <c r="F5" s="8">
        <v>7500</v>
      </c>
      <c r="G5" s="8" t="str">
        <f t="shared" si="0"/>
        <v>Hea</v>
      </c>
      <c r="H5" s="8" t="str">
        <f t="shared" si="1"/>
        <v>cs</v>
      </c>
      <c r="I5" s="13" t="s">
        <v>27</v>
      </c>
    </row>
    <row r="6" spans="1:9" ht="28.8" x14ac:dyDescent="0.3">
      <c r="A6" s="12">
        <v>45700</v>
      </c>
      <c r="B6" s="7" t="s">
        <v>18</v>
      </c>
      <c r="C6" s="7" t="s">
        <v>17</v>
      </c>
      <c r="D6" s="7">
        <v>7</v>
      </c>
      <c r="E6" s="7">
        <v>1200</v>
      </c>
      <c r="F6" s="8">
        <v>8400</v>
      </c>
      <c r="G6" s="8" t="str">
        <f t="shared" si="0"/>
        <v>Key</v>
      </c>
      <c r="H6" s="8" t="str">
        <f t="shared" si="1"/>
        <v>cs</v>
      </c>
      <c r="I6" s="13" t="s">
        <v>28</v>
      </c>
    </row>
    <row r="7" spans="1:9" ht="28.8" x14ac:dyDescent="0.3">
      <c r="A7" s="12">
        <v>45662</v>
      </c>
      <c r="B7" s="7" t="s">
        <v>19</v>
      </c>
      <c r="C7" s="7" t="s">
        <v>17</v>
      </c>
      <c r="D7" s="7">
        <v>10</v>
      </c>
      <c r="E7" s="7">
        <v>500</v>
      </c>
      <c r="F7" s="8">
        <v>5000</v>
      </c>
      <c r="G7" s="8" t="str">
        <f t="shared" si="0"/>
        <v>Mou</v>
      </c>
      <c r="H7" s="8" t="str">
        <f t="shared" si="1"/>
        <v>cs</v>
      </c>
      <c r="I7" s="13" t="s">
        <v>27</v>
      </c>
    </row>
    <row r="8" spans="1:9" ht="28.8" x14ac:dyDescent="0.3">
      <c r="A8" s="19">
        <v>45726</v>
      </c>
      <c r="B8" s="20" t="s">
        <v>23</v>
      </c>
      <c r="C8" s="20" t="s">
        <v>17</v>
      </c>
      <c r="D8" s="20">
        <v>8</v>
      </c>
      <c r="E8" s="20">
        <v>800</v>
      </c>
      <c r="F8" s="21">
        <v>6400</v>
      </c>
      <c r="G8" s="21" t="str">
        <f t="shared" si="0"/>
        <v>Pen</v>
      </c>
      <c r="H8" s="21" t="str">
        <f t="shared" si="1"/>
        <v>cs</v>
      </c>
      <c r="I8" s="22" t="s">
        <v>29</v>
      </c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10" t="s">
        <v>1</v>
      </c>
      <c r="C13" s="9" t="s">
        <v>2</v>
      </c>
      <c r="D13" s="2"/>
      <c r="E13" s="23" t="s">
        <v>26</v>
      </c>
      <c r="F13" s="6" t="s">
        <v>30</v>
      </c>
      <c r="G13" s="6" t="s">
        <v>31</v>
      </c>
      <c r="H13" s="2"/>
      <c r="I13" s="2"/>
    </row>
    <row r="14" spans="1:9" x14ac:dyDescent="0.3">
      <c r="A14" s="2"/>
      <c r="B14" s="10" t="s">
        <v>32</v>
      </c>
      <c r="C14" s="9">
        <f>MAX(F3:F8)</f>
        <v>8400</v>
      </c>
      <c r="D14" s="2"/>
      <c r="E14" s="9" t="s">
        <v>27</v>
      </c>
      <c r="F14" s="9">
        <f>SUMIF(I3:I8,"Jan",F3:F8)</f>
        <v>25000</v>
      </c>
      <c r="G14" s="9">
        <f>AVERAGEIF(I3:I8,"Jan",F3:F8)</f>
        <v>6250</v>
      </c>
      <c r="H14" s="2"/>
      <c r="I14" s="2"/>
    </row>
    <row r="15" spans="1:9" x14ac:dyDescent="0.3">
      <c r="A15" s="2"/>
      <c r="B15" s="10" t="s">
        <v>33</v>
      </c>
      <c r="C15" s="9">
        <f>MIN(F3:F8)</f>
        <v>5000</v>
      </c>
      <c r="D15" s="2"/>
      <c r="E15" s="9" t="s">
        <v>28</v>
      </c>
      <c r="F15" s="9">
        <f>SUMIF(I4:I9,"Feb",F4:F9)</f>
        <v>8400</v>
      </c>
      <c r="G15" s="9">
        <f t="shared" ref="G15:G16" si="2">AVERAGEIF(I4:I9,"Jan",F4:F9)</f>
        <v>6666.666666666667</v>
      </c>
      <c r="H15" s="2"/>
      <c r="I15" s="2"/>
    </row>
    <row r="16" spans="1:9" x14ac:dyDescent="0.3">
      <c r="A16" s="2"/>
      <c r="B16" s="2"/>
      <c r="C16" s="2"/>
      <c r="D16" s="2"/>
      <c r="E16" s="9" t="s">
        <v>29</v>
      </c>
      <c r="F16" s="9">
        <f>SUMIF(I5:I10,"Mar",F5:F10)</f>
        <v>6400</v>
      </c>
      <c r="G16" s="9">
        <f t="shared" si="2"/>
        <v>6250</v>
      </c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417A-BB52-489B-BA78-BB239660A096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 Sales</vt:lpstr>
      <vt:lpstr>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Raj</dc:creator>
  <cp:lastModifiedBy>Shivam Raj</cp:lastModifiedBy>
  <dcterms:created xsi:type="dcterms:W3CDTF">2026-01-04T08:39:00Z</dcterms:created>
  <dcterms:modified xsi:type="dcterms:W3CDTF">2026-01-04T08:44:49Z</dcterms:modified>
</cp:coreProperties>
</file>